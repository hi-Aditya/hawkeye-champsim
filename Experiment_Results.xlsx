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<sst xmlns="http://schemas.openxmlformats.org/spreadsheetml/2006/main" count="31" uniqueCount="24">
  <si>
    <t>Config</t>
  </si>
  <si>
    <t>Policy</t>
  </si>
  <si>
    <t>ACCESS</t>
  </si>
  <si>
    <t>MISS</t>
  </si>
  <si>
    <t>MISS_RATE</t>
  </si>
  <si>
    <t>4-way</t>
  </si>
  <si>
    <t>LRU</t>
  </si>
  <si>
    <t>Hawkeye</t>
  </si>
  <si>
    <t>8-way</t>
  </si>
  <si>
    <t>16-way</t>
  </si>
  <si>
    <t>Associativity</t>
  </si>
  <si>
    <t>LRU Miss Rate</t>
  </si>
  <si>
    <t>Hawkeye Miss Rate</t>
  </si>
  <si>
    <t>Benchmark</t>
  </si>
  <si>
    <t>LRU ACCESS</t>
  </si>
  <si>
    <t>LRU MISS</t>
  </si>
  <si>
    <t>LRU MISS_RATE</t>
  </si>
  <si>
    <t>HAWKEYE ACCESS</t>
  </si>
  <si>
    <t>HAWKEYE MISS</t>
  </si>
  <si>
    <t>HAWKEYE MISS_RATE</t>
  </si>
  <si>
    <t>MISS_RATE Reduction</t>
  </si>
  <si>
    <t>456.hmmer</t>
  </si>
  <si>
    <t>429.mcf</t>
  </si>
  <si>
    <t>473.astar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</si>
</sst>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LRU Miss Rate and Hawkeye Miss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Sheet1!$A$11:$A$13</c:f>
            </c:strRef>
          </c:cat>
          <c:val>
            <c:numRef>
              <c:f>Sheet1!$B$11:$B$13</c:f>
              <c:numCache/>
            </c:numRef>
          </c:val>
          <c:smooth val="0"/>
        </c:ser>
        <c:ser>
          <c:idx val="1"/>
          <c:order val="1"/>
          <c:tx>
            <c:strRef>
              <c:f>Sheet1!$C$10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Sheet1!$A$11:$A$13</c:f>
            </c:strRef>
          </c:cat>
          <c:val>
            <c:numRef>
              <c:f>Sheet1!$C$11:$C$13</c:f>
              <c:numCache/>
            </c:numRef>
          </c:val>
          <c:smooth val="0"/>
        </c:ser>
        <c:axId val="1324016496"/>
        <c:axId val="2130562814"/>
      </c:lineChart>
      <c:catAx>
        <c:axId val="132401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Associativity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562814"/>
      </c:catAx>
      <c:valAx>
        <c:axId val="2130562814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016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MISS_RATE Reduction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Sheet1!$P$10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Sheet1!$I$11:$I$13</c:f>
            </c:strRef>
          </c:cat>
          <c:val>
            <c:numRef>
              <c:f>Sheet1!$P$11:$P$13</c:f>
              <c:numCache/>
            </c:numRef>
          </c:val>
        </c:ser>
        <c:axId val="319983456"/>
        <c:axId val="1616419553"/>
      </c:barChart>
      <c:catAx>
        <c:axId val="31998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419553"/>
      </c:catAx>
      <c:valAx>
        <c:axId val="1616419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MISS_RATE Reduction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983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14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876300</xdr:colOff>
      <xdr:row>14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75"/>
    <col customWidth="1" min="3" max="3" width="17.88"/>
    <col customWidth="1" min="4" max="4" width="15.63"/>
    <col customWidth="1" min="5" max="5" width="16.38"/>
    <col customWidth="1" min="12" max="12" width="14.0"/>
    <col customWidth="1" min="13" max="13" width="14.63"/>
    <col customWidth="1" min="14" max="14" width="13.13"/>
    <col customWidth="1" min="15" max="15" width="18.13"/>
    <col customWidth="1" min="16" max="16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265856.0</v>
      </c>
      <c r="D2" s="2">
        <v>90091.0</v>
      </c>
      <c r="E2" s="3">
        <f t="shared" ref="E2:E7" si="1">ROUND(D2/C2*100, 2)</f>
        <v>33.89</v>
      </c>
    </row>
    <row r="3">
      <c r="A3" s="2" t="s">
        <v>5</v>
      </c>
      <c r="B3" s="2" t="s">
        <v>7</v>
      </c>
      <c r="C3" s="2">
        <v>265859.0</v>
      </c>
      <c r="D3" s="2">
        <v>94022.0</v>
      </c>
      <c r="E3" s="3">
        <f t="shared" si="1"/>
        <v>35.37</v>
      </c>
    </row>
    <row r="4">
      <c r="A4" s="2" t="s">
        <v>8</v>
      </c>
      <c r="B4" s="2" t="s">
        <v>6</v>
      </c>
      <c r="C4" s="2">
        <v>265798.0</v>
      </c>
      <c r="D4" s="2">
        <v>71579.0</v>
      </c>
      <c r="E4" s="3">
        <f t="shared" si="1"/>
        <v>26.93</v>
      </c>
    </row>
    <row r="5">
      <c r="A5" s="2" t="s">
        <v>8</v>
      </c>
      <c r="B5" s="2" t="s">
        <v>7</v>
      </c>
      <c r="C5" s="2">
        <v>265798.0</v>
      </c>
      <c r="D5" s="2">
        <v>71568.0</v>
      </c>
      <c r="E5" s="3">
        <f t="shared" si="1"/>
        <v>26.93</v>
      </c>
    </row>
    <row r="6">
      <c r="A6" s="2" t="s">
        <v>9</v>
      </c>
      <c r="B6" s="2" t="s">
        <v>6</v>
      </c>
      <c r="C6" s="2">
        <v>265810.0</v>
      </c>
      <c r="D6" s="2">
        <v>68963.0</v>
      </c>
      <c r="E6" s="3">
        <f t="shared" si="1"/>
        <v>25.94</v>
      </c>
    </row>
    <row r="7">
      <c r="A7" s="2" t="s">
        <v>9</v>
      </c>
      <c r="B7" s="2" t="s">
        <v>7</v>
      </c>
      <c r="C7" s="2">
        <v>265857.0</v>
      </c>
      <c r="D7" s="2">
        <v>64391.0</v>
      </c>
      <c r="E7" s="3">
        <f t="shared" si="1"/>
        <v>24.22</v>
      </c>
    </row>
    <row r="10">
      <c r="A10" s="1" t="s">
        <v>10</v>
      </c>
      <c r="B10" s="1" t="s">
        <v>11</v>
      </c>
      <c r="C10" s="1" t="s">
        <v>12</v>
      </c>
      <c r="I10" s="1" t="s">
        <v>13</v>
      </c>
      <c r="J10" s="1" t="s">
        <v>14</v>
      </c>
      <c r="K10" s="1" t="s">
        <v>15</v>
      </c>
      <c r="L10" s="1" t="s">
        <v>16</v>
      </c>
      <c r="M10" s="1" t="s">
        <v>17</v>
      </c>
      <c r="N10" s="1" t="s">
        <v>18</v>
      </c>
      <c r="O10" s="1" t="s">
        <v>19</v>
      </c>
      <c r="P10" s="1" t="s">
        <v>20</v>
      </c>
    </row>
    <row r="11">
      <c r="A11" s="2">
        <v>4.0</v>
      </c>
      <c r="B11" s="2">
        <v>33.89</v>
      </c>
      <c r="C11" s="2">
        <v>35.37</v>
      </c>
      <c r="I11" s="2" t="s">
        <v>21</v>
      </c>
      <c r="J11" s="2">
        <v>265810.0</v>
      </c>
      <c r="K11" s="2">
        <v>68963.0</v>
      </c>
      <c r="L11" s="3">
        <f t="shared" ref="L11:L13" si="2">ROUND(K11/J11*100, 2)</f>
        <v>25.94</v>
      </c>
      <c r="M11" s="2">
        <v>265857.0</v>
      </c>
      <c r="N11" s="2">
        <v>64391.0</v>
      </c>
      <c r="O11" s="3">
        <f t="shared" ref="O11:O13" si="3">ROUND(N11/M11*100, 2)</f>
        <v>24.22</v>
      </c>
      <c r="P11" s="2">
        <v>6.64</v>
      </c>
    </row>
    <row r="12">
      <c r="A12" s="2">
        <v>8.0</v>
      </c>
      <c r="B12" s="2">
        <v>26.93</v>
      </c>
      <c r="C12" s="2">
        <v>26.93</v>
      </c>
      <c r="I12" s="2" t="s">
        <v>22</v>
      </c>
      <c r="J12" s="2">
        <v>1943704.0</v>
      </c>
      <c r="K12" s="2">
        <v>1259882.0</v>
      </c>
      <c r="L12" s="3">
        <f t="shared" si="2"/>
        <v>64.82</v>
      </c>
      <c r="M12" s="2">
        <v>1943656.0</v>
      </c>
      <c r="N12" s="2">
        <v>1240160.0</v>
      </c>
      <c r="O12" s="3">
        <f t="shared" si="3"/>
        <v>63.81</v>
      </c>
      <c r="P12" s="2">
        <v>1.55</v>
      </c>
    </row>
    <row r="13">
      <c r="A13" s="2">
        <v>16.0</v>
      </c>
      <c r="B13" s="2">
        <v>25.94</v>
      </c>
      <c r="C13" s="2">
        <v>24.22</v>
      </c>
      <c r="I13" s="4" t="s">
        <v>23</v>
      </c>
      <c r="J13" s="4">
        <v>658152.0</v>
      </c>
      <c r="K13" s="2">
        <v>129217.0</v>
      </c>
      <c r="L13" s="3">
        <f t="shared" si="2"/>
        <v>19.63</v>
      </c>
      <c r="M13" s="2">
        <v>657582.0</v>
      </c>
      <c r="N13" s="2">
        <v>126453.0</v>
      </c>
      <c r="O13" s="3">
        <f t="shared" si="3"/>
        <v>19.23</v>
      </c>
      <c r="P13" s="2">
        <v>2.07</v>
      </c>
    </row>
  </sheetData>
  <drawing r:id="rId1"/>
</worksheet>
</file>